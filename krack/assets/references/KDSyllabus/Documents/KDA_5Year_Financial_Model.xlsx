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Year Projection" sheetId="1" state="visible" r:id="rId1"/>
    <sheet xmlns:r="http://schemas.openxmlformats.org/officeDocument/2006/relationships" name="Corporate Breakdown" sheetId="2" state="visible" r:id="rId2"/>
    <sheet xmlns:r="http://schemas.openxmlformats.org/officeDocument/2006/relationships" name="Sensitivity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Stage A Learners</t>
        </is>
      </c>
      <c r="C1" t="inlineStr">
        <is>
          <t>Stage B Learners</t>
        </is>
      </c>
      <c r="D1" t="inlineStr">
        <is>
          <t>Stage C Teams</t>
        </is>
      </c>
      <c r="E1" t="inlineStr">
        <is>
          <t>Gov Revenue (RM)</t>
        </is>
      </c>
      <c r="F1" t="inlineStr">
        <is>
          <t>Corporate Revenue (RM)</t>
        </is>
      </c>
      <c r="G1" t="inlineStr">
        <is>
          <t>Paid Cohort Revenue (RM)</t>
        </is>
      </c>
      <c r="H1" t="inlineStr">
        <is>
          <t>Total Revenue (RM)</t>
        </is>
      </c>
    </row>
    <row r="2">
      <c r="A2" t="inlineStr">
        <is>
          <t>Year 1</t>
        </is>
      </c>
      <c r="B2" t="n">
        <v>5000</v>
      </c>
      <c r="C2" t="n">
        <v>1000</v>
      </c>
      <c r="D2" t="n">
        <v>100</v>
      </c>
      <c r="E2">
        <f>B2*300 + C2*1500 + D2*5000</f>
        <v/>
      </c>
      <c r="F2" t="n">
        <v>2000000</v>
      </c>
      <c r="G2" t="n">
        <v>500000</v>
      </c>
      <c r="H2">
        <f>E2+F2+G2</f>
        <v/>
      </c>
    </row>
    <row r="3">
      <c r="A3" t="inlineStr">
        <is>
          <t>Year 2</t>
        </is>
      </c>
      <c r="B3" t="n">
        <v>8000</v>
      </c>
      <c r="C3" t="n">
        <v>1600</v>
      </c>
      <c r="D3" t="n">
        <v>150</v>
      </c>
      <c r="E3">
        <f>B3*300 + C3*1500 + D3*5000</f>
        <v/>
      </c>
      <c r="F3" t="n">
        <v>2000000</v>
      </c>
      <c r="G3" t="n">
        <v>500000</v>
      </c>
      <c r="H3">
        <f>E3+F3+G3</f>
        <v/>
      </c>
    </row>
    <row r="4">
      <c r="A4" t="inlineStr">
        <is>
          <t>Year 3</t>
        </is>
      </c>
      <c r="B4" t="n">
        <v>10000</v>
      </c>
      <c r="C4" t="n">
        <v>2500</v>
      </c>
      <c r="D4" t="n">
        <v>200</v>
      </c>
      <c r="E4">
        <f>B4*300 + C4*1500 + D4*5000</f>
        <v/>
      </c>
      <c r="F4" t="n">
        <v>2000000</v>
      </c>
      <c r="G4" t="n">
        <v>500000</v>
      </c>
      <c r="H4">
        <f>E4+F4+G4</f>
        <v/>
      </c>
    </row>
    <row r="5">
      <c r="A5" t="inlineStr">
        <is>
          <t>Year 4</t>
        </is>
      </c>
      <c r="B5" t="n">
        <v>18000</v>
      </c>
      <c r="C5" t="n">
        <v>4000</v>
      </c>
      <c r="D5" t="n">
        <v>300</v>
      </c>
      <c r="E5">
        <f>B5*300 + C5*1500 + D5*5000</f>
        <v/>
      </c>
      <c r="F5" t="n">
        <v>2000000</v>
      </c>
      <c r="G5" t="n">
        <v>500000</v>
      </c>
      <c r="H5">
        <f>E5+F5+G5</f>
        <v/>
      </c>
    </row>
    <row r="6">
      <c r="A6" t="inlineStr">
        <is>
          <t>Year 5</t>
        </is>
      </c>
      <c r="B6" t="n">
        <v>25000</v>
      </c>
      <c r="C6" t="n">
        <v>6000</v>
      </c>
      <c r="D6" t="n">
        <v>500</v>
      </c>
      <c r="E6">
        <f>B6*300 + C6*1500 + D6*5000</f>
        <v/>
      </c>
      <c r="F6" t="n">
        <v>2000000</v>
      </c>
      <c r="G6" t="n">
        <v>500000</v>
      </c>
      <c r="H6">
        <f>E6+F6+G6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Price (RM)</t>
        </is>
      </c>
      <c r="C1" t="inlineStr">
        <is>
          <t>Estimated Sponsors</t>
        </is>
      </c>
      <c r="D1" t="inlineStr">
        <is>
          <t>Total (RM)</t>
        </is>
      </c>
    </row>
    <row r="2">
      <c r="A2" t="inlineStr">
        <is>
          <t>Title Sponsor</t>
        </is>
      </c>
      <c r="B2" t="n">
        <v>250000</v>
      </c>
      <c r="C2" t="n">
        <v>3</v>
      </c>
      <c r="D2">
        <f>B2*C2</f>
        <v/>
      </c>
    </row>
    <row r="3">
      <c r="A3" t="inlineStr">
        <is>
          <t>Gold Sponsor</t>
        </is>
      </c>
      <c r="B3" t="n">
        <v>100000</v>
      </c>
      <c r="C3" t="n">
        <v>5</v>
      </c>
      <c r="D3">
        <f>B3*C3</f>
        <v/>
      </c>
    </row>
    <row r="4">
      <c r="A4" t="inlineStr">
        <is>
          <t>Silver Sponsor</t>
        </is>
      </c>
      <c r="B4" t="n">
        <v>50000</v>
      </c>
      <c r="C4" t="n">
        <v>10</v>
      </c>
      <c r="D4">
        <f>B4*C4</f>
        <v/>
      </c>
    </row>
    <row r="5">
      <c r="D5">
        <f>SUM(D2:D4)</f>
        <v/>
      </c>
    </row>
    <row r="6">
      <c r="C6" t="inlineStr">
        <is>
          <t>Projected Total</t>
        </is>
      </c>
      <c r="D6">
        <f>D5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Stage A Learners</t>
        </is>
      </c>
      <c r="C1" t="inlineStr">
        <is>
          <t>Gov Revenue (RM)</t>
        </is>
      </c>
    </row>
    <row r="2">
      <c r="A2" t="inlineStr">
        <is>
          <t>Conservative (70%)</t>
        </is>
      </c>
      <c r="B2" t="n">
        <v>3500</v>
      </c>
      <c r="C2">
        <f>B2*300</f>
        <v/>
      </c>
    </row>
    <row r="3">
      <c r="A3" t="inlineStr">
        <is>
          <t>Base Case (100%)</t>
        </is>
      </c>
      <c r="B3" t="n">
        <v>5000</v>
      </c>
      <c r="C3">
        <f>B3*300</f>
        <v/>
      </c>
    </row>
    <row r="4">
      <c r="A4" t="inlineStr">
        <is>
          <t>Aggressive (130%)</t>
        </is>
      </c>
      <c r="B4" t="n">
        <v>6500</v>
      </c>
      <c r="C4">
        <f>B4*300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2026-02-28T16:39:35Z</dcterms:created>
  <dcterms:modified xmlns:dcterms="http://purl.org/dc/terms/" xmlns:xsi="http://www.w3.org/2001/XMLSchema-instance" xsi:type="dcterms:W3CDTF">2026-02-28T16:39:35Z</dcterms:modified>
</cp:coreProperties>
</file>